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sley/Desktop/Columbus W&amp;P Info/"/>
    </mc:Choice>
  </mc:AlternateContent>
  <xr:revisionPtr revIDLastSave="0" documentId="8_{0BF1096E-5F3E-42D0-919A-A10DA1EB6854}" xr6:coauthVersionLast="47" xr6:coauthVersionMax="47" xr10:uidLastSave="{00000000-0000-0000-0000-000000000000}"/>
  <bookViews>
    <workbookView xWindow="0" yWindow="780" windowWidth="34200" windowHeight="20160" activeTab="3" xr2:uid="{00000000-000D-0000-FFFF-FFFF00000000}"/>
  </bookViews>
  <sheets>
    <sheet name="LEAP Quotes - No Names" sheetId="6" r:id="rId1"/>
    <sheet name="LEAP Participation" sheetId="4" r:id="rId2"/>
    <sheet name="Insurance" sheetId="5" r:id="rId3"/>
    <sheet name="System Material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6" l="1"/>
  <c r="F76" i="6"/>
</calcChain>
</file>

<file path=xl/sharedStrings.xml><?xml version="1.0" encoding="utf-8"?>
<sst xmlns="http://schemas.openxmlformats.org/spreadsheetml/2006/main" count="140" uniqueCount="51">
  <si>
    <t>Contractor Quote 1 $</t>
  </si>
  <si>
    <t>Contractor Quote 2 $</t>
  </si>
  <si>
    <t>Contractor Quote 3 $</t>
  </si>
  <si>
    <t>Total:</t>
  </si>
  <si>
    <t>LEAP Program Contractor Quotes - April 2025 to March 2026</t>
  </si>
  <si>
    <t>LEAP Participation</t>
  </si>
  <si>
    <t># who applied</t>
  </si>
  <si>
    <t># who applied but decided to not continue with program</t>
  </si>
  <si>
    <t># of rejected applicants</t>
  </si>
  <si>
    <t># of completed loans</t>
  </si>
  <si>
    <t># of in progress loans</t>
  </si>
  <si>
    <t># of proactive loans</t>
  </si>
  <si>
    <t># of leak loans</t>
  </si>
  <si>
    <t># of Galvanized - Private Side of Line</t>
  </si>
  <si>
    <t># of Galvanized - Public Side of Line</t>
  </si>
  <si>
    <t># of Lead - Public Side of Line</t>
  </si>
  <si>
    <t># of Copper - Public Side of Line</t>
  </si>
  <si>
    <t># of Plastic - Public Side of Line</t>
  </si>
  <si>
    <t># of Unknown - Public Side of Line</t>
  </si>
  <si>
    <t>Column1</t>
  </si>
  <si>
    <t>$ Average of 3 Quotes:</t>
  </si>
  <si>
    <t>Active Customers</t>
  </si>
  <si>
    <t>Active Policies</t>
  </si>
  <si>
    <t>IPD</t>
  </si>
  <si>
    <t>SSL</t>
  </si>
  <si>
    <t>WSL</t>
  </si>
  <si>
    <t>Total Repair Spend</t>
  </si>
  <si>
    <t>Total Repairs</t>
  </si>
  <si>
    <t>Insurance</t>
  </si>
  <si>
    <t>SSL = Sewer Lines</t>
  </si>
  <si>
    <t>WSL = Water Service Lines</t>
  </si>
  <si>
    <t>IPD = Internal Plumbing &amp; Drains</t>
  </si>
  <si>
    <t>* Customer can choose any contractor of the 3, as long as they are registered in Vendor Services, but the City will only provide $ up to the lowest submitted quote, unless the lowest quoted contractor does not wish to proceed/be chosen</t>
  </si>
  <si>
    <t>3rd Party Agreement Contract $ Amount ($10K or less covered by loan*)</t>
  </si>
  <si>
    <t># of interested applicants</t>
  </si>
  <si>
    <t xml:space="preserve">Chosen Contractor Quote </t>
  </si>
  <si>
    <t xml:space="preserve"># of applications sent to those interested customers </t>
  </si>
  <si>
    <t>Insurance Policy Participation</t>
  </si>
  <si>
    <t>Utility Material</t>
  </si>
  <si>
    <t>Customer Material</t>
  </si>
  <si>
    <t>Count</t>
  </si>
  <si>
    <t>Whole Line Designation</t>
  </si>
  <si>
    <t>Galvanized</t>
  </si>
  <si>
    <t>Non-Lead - Copper</t>
  </si>
  <si>
    <t>Non-Lead - Other</t>
  </si>
  <si>
    <t>Non-Lead - Plastic</t>
  </si>
  <si>
    <t>Unknown - Material Unknown</t>
  </si>
  <si>
    <t>Lead</t>
  </si>
  <si>
    <t>Non-Lead</t>
  </si>
  <si>
    <t>Unknown</t>
  </si>
  <si>
    <t>Service Line Material Breakdown by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</si>
</sst>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$-409]#,##0.00;\-[$$-409]#,##0.00"/>
    <numFmt numFmtId="165" formatCode="&quot;$&quot;#,##0"/>
  </numFmts>
  <fonts count="10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8"/>
      <color indexed="8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3" borderId="1" xfId="0" applyNumberFormat="1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left" indent="1"/>
    </xf>
    <xf numFmtId="165" fontId="2" fillId="0" borderId="1" xfId="0" applyNumberFormat="1" applyFont="1" applyBorder="1"/>
    <xf numFmtId="165" fontId="0" fillId="0" borderId="1" xfId="0" applyNumberFormat="1" applyBorder="1"/>
    <xf numFmtId="0" fontId="0" fillId="0" borderId="4" xfId="0" applyBorder="1" applyAlignment="1">
      <alignment horizontal="left" indent="1"/>
    </xf>
    <xf numFmtId="165" fontId="0" fillId="0" borderId="4" xfId="0" applyNumberFormat="1" applyBorder="1"/>
    <xf numFmtId="0" fontId="0" fillId="0" borderId="4" xfId="0" applyBorder="1"/>
    <xf numFmtId="0" fontId="2" fillId="3" borderId="1" xfId="0" applyFont="1" applyFill="1" applyBorder="1"/>
    <xf numFmtId="164" fontId="9" fillId="4" borderId="1" xfId="0" applyNumberFormat="1" applyFont="1" applyFill="1" applyBorder="1"/>
    <xf numFmtId="164" fontId="9" fillId="6" borderId="1" xfId="0" applyNumberFormat="1" applyFont="1" applyFill="1" applyBorder="1"/>
    <xf numFmtId="164" fontId="9" fillId="5" borderId="1" xfId="0" applyNumberFormat="1" applyFont="1" applyFill="1" applyBorder="1"/>
    <xf numFmtId="164" fontId="9" fillId="0" borderId="1" xfId="0" applyNumberFormat="1" applyFont="1" applyBorder="1"/>
    <xf numFmtId="164" fontId="9" fillId="4" borderId="1" xfId="0" applyNumberFormat="1" applyFont="1" applyFill="1" applyBorder="1" applyAlignment="1">
      <alignment wrapText="1"/>
    </xf>
    <xf numFmtId="164" fontId="9" fillId="6" borderId="1" xfId="0" applyNumberFormat="1" applyFont="1" applyFill="1" applyBorder="1" applyAlignment="1">
      <alignment wrapText="1"/>
    </xf>
    <xf numFmtId="164" fontId="9" fillId="5" borderId="1" xfId="0" applyNumberFormat="1" applyFont="1" applyFill="1" applyBorder="1" applyAlignment="1">
      <alignment horizontal="right"/>
    </xf>
    <xf numFmtId="0" fontId="6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0" borderId="0" xfId="0" applyFont="1"/>
    <xf numFmtId="0" fontId="9" fillId="0" borderId="0" xfId="0" applyFont="1"/>
    <xf numFmtId="0" fontId="5" fillId="0" borderId="0" xfId="0" applyFont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wrapText="1"/>
    </xf>
    <xf numFmtId="44" fontId="0" fillId="0" borderId="1" xfId="1" applyFont="1" applyBorder="1"/>
    <xf numFmtId="164" fontId="0" fillId="0" borderId="1" xfId="0" applyNumberFormat="1" applyBorder="1"/>
    <xf numFmtId="3" fontId="0" fillId="0" borderId="0" xfId="0" applyNumberFormat="1"/>
    <xf numFmtId="0" fontId="4" fillId="7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.00;\-[$$-409]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.00;\-[$$-409]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.00;\-[$$-409]#,##0.00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.00;\-[$$-409]#,##0.00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.00;\-[$$-409]#,##0.00"/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8255</xdr:colOff>
      <xdr:row>3</xdr:row>
      <xdr:rowOff>81915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0880" cy="653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741680</xdr:colOff>
      <xdr:row>3</xdr:row>
      <xdr:rowOff>81915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0880" cy="653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17780</xdr:colOff>
      <xdr:row>3</xdr:row>
      <xdr:rowOff>81915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0880" cy="6534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80C517-9151-4E60-8834-86EA4EEB6691}" name="Table212" displayName="Table212" ref="B8:G73" totalsRowShown="0" headerRowDxfId="7" tableBorderDxfId="6">
  <autoFilter ref="B8:G73" xr:uid="{0380C517-9151-4E60-8834-86EA4EEB6691}"/>
  <tableColumns count="6">
    <tableColumn id="2" xr3:uid="{DC595912-8A53-4109-BC95-179DB659996F}" name="Contractor Quote 1 $" dataDxfId="5"/>
    <tableColumn id="4" xr3:uid="{7764154C-9809-4B79-AD29-5EB764659CB4}" name="Contractor Quote 2 $" dataDxfId="4"/>
    <tableColumn id="6" xr3:uid="{A304BF94-9C8D-4BBB-A611-0EB506C5F920}" name="Contractor Quote 3 $" dataDxfId="3"/>
    <tableColumn id="7" xr3:uid="{32C6F391-060D-49E5-9C9F-E00FF8D7FB26}" name="Column1" dataDxfId="2"/>
    <tableColumn id="9" xr3:uid="{B44DEE5D-BF20-4075-ADF2-5DC761A77A50}" name="Chosen Contractor Quote " dataDxfId="1"/>
    <tableColumn id="10" xr3:uid="{FB24D7A9-8365-4B75-A35C-5487821AEDC0}" name="3rd Party Agreement Contract $ Amount ($10K or less covered by loan*)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390AAB-29D3-4446-B0A9-5DD96CD0C312}" name="Table1" displayName="Table1" ref="B4:E34" totalsRowShown="0">
  <autoFilter ref="B4:E34" xr:uid="{26390AAB-29D3-4446-B0A9-5DD96CD0C312}"/>
  <tableColumns count="4">
    <tableColumn id="1" xr3:uid="{27635C35-0A00-4B1F-B0FA-9602560A6D88}" name="Utility Material"/>
    <tableColumn id="2" xr3:uid="{D6246493-8BAF-4B8E-8623-E801BD2055E3}" name="Customer Material"/>
    <tableColumn id="3" xr3:uid="{6F562925-9B6F-4FA1-9F6D-864676092088}" name="Count" dataDxfId="8"/>
    <tableColumn id="4" xr3:uid="{FA52F9E3-37C1-4293-B8EC-F7D89E4E87B2}" name="Whole Line Desig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70FB-3387-418F-A3F7-339E1A1833F4}">
  <dimension ref="B7:G76"/>
  <sheetViews>
    <sheetView showGridLines="0" topLeftCell="B40" workbookViewId="0">
      <selection activeCell="J72" sqref="J72"/>
    </sheetView>
  </sheetViews>
  <sheetFormatPr baseColWidth="10" defaultColWidth="8.83203125" defaultRowHeight="15" x14ac:dyDescent="0.2"/>
  <cols>
    <col min="2" max="2" width="20.1640625" customWidth="1"/>
    <col min="3" max="3" width="18.5" customWidth="1"/>
    <col min="4" max="4" width="17.6640625" customWidth="1"/>
    <col min="5" max="5" width="15.1640625" customWidth="1"/>
    <col min="6" max="6" width="18.5" customWidth="1"/>
    <col min="7" max="7" width="25.6640625" customWidth="1"/>
    <col min="8" max="8" width="21.1640625" customWidth="1"/>
  </cols>
  <sheetData>
    <row r="7" spans="2:7" ht="42" customHeight="1" x14ac:dyDescent="0.3">
      <c r="B7" s="36" t="s">
        <v>4</v>
      </c>
      <c r="C7" s="36"/>
      <c r="D7" s="36"/>
      <c r="E7" s="36"/>
      <c r="F7" s="36"/>
      <c r="G7" s="36"/>
    </row>
    <row r="8" spans="2:7" ht="63" customHeight="1" x14ac:dyDescent="0.2">
      <c r="B8" s="27" t="s">
        <v>0</v>
      </c>
      <c r="C8" s="27" t="s">
        <v>1</v>
      </c>
      <c r="D8" s="27" t="s">
        <v>2</v>
      </c>
      <c r="E8" s="28" t="s">
        <v>19</v>
      </c>
      <c r="F8" s="26" t="s">
        <v>35</v>
      </c>
      <c r="G8" s="26" t="s">
        <v>33</v>
      </c>
    </row>
    <row r="9" spans="2:7" ht="16" x14ac:dyDescent="0.2">
      <c r="B9" s="19">
        <v>10000</v>
      </c>
      <c r="C9" s="20">
        <v>20879</v>
      </c>
      <c r="D9" s="21">
        <v>17410</v>
      </c>
      <c r="E9" s="29"/>
      <c r="F9" s="22">
        <v>17410</v>
      </c>
      <c r="G9" s="22">
        <v>10000</v>
      </c>
    </row>
    <row r="10" spans="2:7" ht="16" x14ac:dyDescent="0.2">
      <c r="B10" s="23">
        <v>12610</v>
      </c>
      <c r="C10" s="24">
        <v>7450</v>
      </c>
      <c r="D10" s="21">
        <v>14245</v>
      </c>
      <c r="E10" s="29"/>
      <c r="F10" s="22">
        <v>12610</v>
      </c>
      <c r="G10" s="22">
        <v>10000</v>
      </c>
    </row>
    <row r="11" spans="2:7" ht="16" x14ac:dyDescent="0.2">
      <c r="B11" s="23">
        <v>6250</v>
      </c>
      <c r="C11" s="24">
        <v>12387</v>
      </c>
      <c r="D11" s="21">
        <v>6800</v>
      </c>
      <c r="E11" s="29"/>
      <c r="F11" s="22">
        <v>6250</v>
      </c>
      <c r="G11" s="22">
        <v>7550</v>
      </c>
    </row>
    <row r="12" spans="2:7" ht="16" x14ac:dyDescent="0.2">
      <c r="B12" s="19">
        <v>8510</v>
      </c>
      <c r="C12" s="20">
        <v>11000</v>
      </c>
      <c r="D12" s="21">
        <v>8950</v>
      </c>
      <c r="E12" s="29"/>
      <c r="F12" s="22">
        <v>8510</v>
      </c>
      <c r="G12" s="22">
        <v>8510</v>
      </c>
    </row>
    <row r="13" spans="2:7" ht="16" x14ac:dyDescent="0.2">
      <c r="B13" s="23">
        <v>10250</v>
      </c>
      <c r="C13" s="24">
        <v>8840</v>
      </c>
      <c r="D13" s="21">
        <v>10000</v>
      </c>
      <c r="E13" s="29"/>
      <c r="F13" s="22">
        <v>8840</v>
      </c>
      <c r="G13" s="22">
        <v>8840</v>
      </c>
    </row>
    <row r="14" spans="2:7" ht="16" x14ac:dyDescent="0.2">
      <c r="B14" s="19">
        <v>7000</v>
      </c>
      <c r="C14" s="20">
        <v>9800</v>
      </c>
      <c r="D14" s="25">
        <v>7945</v>
      </c>
      <c r="E14" s="29"/>
      <c r="F14" s="22">
        <v>7000</v>
      </c>
      <c r="G14" s="22">
        <v>7000</v>
      </c>
    </row>
    <row r="15" spans="2:7" ht="16" x14ac:dyDescent="0.2">
      <c r="B15" s="19">
        <v>9500</v>
      </c>
      <c r="C15" s="20">
        <v>11750</v>
      </c>
      <c r="D15" s="21">
        <v>9731</v>
      </c>
      <c r="E15" s="29"/>
      <c r="F15" s="22">
        <v>9500</v>
      </c>
      <c r="G15" s="22">
        <v>9500</v>
      </c>
    </row>
    <row r="16" spans="2:7" ht="16" x14ac:dyDescent="0.2">
      <c r="B16" s="19">
        <v>6900</v>
      </c>
      <c r="C16" s="20">
        <v>7800</v>
      </c>
      <c r="D16" s="21">
        <v>8485</v>
      </c>
      <c r="E16" s="29"/>
      <c r="F16" s="22">
        <v>6900</v>
      </c>
      <c r="G16" s="22">
        <v>6900</v>
      </c>
    </row>
    <row r="17" spans="2:7" ht="16" x14ac:dyDescent="0.2">
      <c r="B17" s="19">
        <v>5575.83</v>
      </c>
      <c r="C17" s="20">
        <v>5329</v>
      </c>
      <c r="D17" s="21">
        <v>5300</v>
      </c>
      <c r="E17" s="29"/>
      <c r="F17" s="22">
        <v>5300</v>
      </c>
      <c r="G17" s="22">
        <v>5300</v>
      </c>
    </row>
    <row r="18" spans="2:7" ht="16" x14ac:dyDescent="0.2">
      <c r="B18" s="19">
        <v>7500</v>
      </c>
      <c r="C18" s="20">
        <v>8880</v>
      </c>
      <c r="D18" s="21">
        <v>6800</v>
      </c>
      <c r="E18" s="29"/>
      <c r="F18" s="22">
        <v>6800</v>
      </c>
      <c r="G18" s="22">
        <v>6800</v>
      </c>
    </row>
    <row r="19" spans="2:7" ht="16" x14ac:dyDescent="0.2">
      <c r="B19" s="19">
        <v>14510</v>
      </c>
      <c r="C19" s="20">
        <v>6287.5</v>
      </c>
      <c r="D19" s="21">
        <v>6250</v>
      </c>
      <c r="E19" s="29"/>
      <c r="F19" s="22">
        <v>6250</v>
      </c>
      <c r="G19" s="22">
        <v>6250</v>
      </c>
    </row>
    <row r="20" spans="2:7" ht="16" x14ac:dyDescent="0.2">
      <c r="B20" s="19">
        <v>10456</v>
      </c>
      <c r="C20" s="20">
        <v>9146.4</v>
      </c>
      <c r="D20" s="21">
        <v>8200</v>
      </c>
      <c r="E20" s="29"/>
      <c r="F20" s="22">
        <v>8200</v>
      </c>
      <c r="G20" s="22">
        <v>8200</v>
      </c>
    </row>
    <row r="21" spans="2:7" ht="16" x14ac:dyDescent="0.2">
      <c r="B21" s="19">
        <v>14277.83</v>
      </c>
      <c r="C21" s="20">
        <v>10000</v>
      </c>
      <c r="D21" s="21">
        <v>16948</v>
      </c>
      <c r="E21" s="29"/>
      <c r="F21" s="22">
        <v>10000</v>
      </c>
      <c r="G21" s="22">
        <v>10000</v>
      </c>
    </row>
    <row r="22" spans="2:7" ht="16" x14ac:dyDescent="0.2">
      <c r="B22" s="19">
        <v>10710</v>
      </c>
      <c r="C22" s="20">
        <v>9000</v>
      </c>
      <c r="D22" s="21">
        <v>9500</v>
      </c>
      <c r="E22" s="29"/>
      <c r="F22" s="22">
        <v>9000</v>
      </c>
      <c r="G22" s="22">
        <v>9000</v>
      </c>
    </row>
    <row r="23" spans="2:7" ht="16" x14ac:dyDescent="0.2">
      <c r="B23" s="19">
        <v>4800</v>
      </c>
      <c r="C23" s="20">
        <v>8731</v>
      </c>
      <c r="D23" s="21">
        <v>8665</v>
      </c>
      <c r="E23" s="29"/>
      <c r="F23" s="22">
        <v>4800</v>
      </c>
      <c r="G23" s="22">
        <v>4800</v>
      </c>
    </row>
    <row r="24" spans="2:7" ht="16" x14ac:dyDescent="0.2">
      <c r="B24" s="19">
        <v>11105.5</v>
      </c>
      <c r="C24" s="20">
        <v>7500</v>
      </c>
      <c r="D24" s="21">
        <v>7800</v>
      </c>
      <c r="E24" s="29"/>
      <c r="F24" s="22">
        <v>7500</v>
      </c>
      <c r="G24" s="22">
        <v>7500</v>
      </c>
    </row>
    <row r="25" spans="2:7" ht="16" x14ac:dyDescent="0.2">
      <c r="B25" s="19">
        <v>7950</v>
      </c>
      <c r="C25" s="20">
        <v>7600</v>
      </c>
      <c r="D25" s="21">
        <v>8792</v>
      </c>
      <c r="E25" s="29"/>
      <c r="F25" s="22">
        <v>7600</v>
      </c>
      <c r="G25" s="22">
        <v>7600</v>
      </c>
    </row>
    <row r="26" spans="2:7" ht="16" x14ac:dyDescent="0.2">
      <c r="B26" s="23">
        <v>8000</v>
      </c>
      <c r="C26" s="24">
        <v>9150</v>
      </c>
      <c r="D26" s="21">
        <v>8000</v>
      </c>
      <c r="E26" s="29"/>
      <c r="F26" s="22">
        <v>8000</v>
      </c>
      <c r="G26" s="22">
        <v>8000</v>
      </c>
    </row>
    <row r="27" spans="2:7" ht="16" x14ac:dyDescent="0.2">
      <c r="B27" s="19">
        <v>9600</v>
      </c>
      <c r="C27" s="20">
        <v>10815.6</v>
      </c>
      <c r="D27" s="21">
        <v>12390</v>
      </c>
      <c r="E27" s="29"/>
      <c r="F27" s="22">
        <v>9600</v>
      </c>
      <c r="G27" s="22">
        <v>9600</v>
      </c>
    </row>
    <row r="28" spans="2:7" ht="16" x14ac:dyDescent="0.2">
      <c r="B28" s="19">
        <v>9200</v>
      </c>
      <c r="C28" s="20">
        <v>11207.85</v>
      </c>
      <c r="D28" s="21">
        <v>10800</v>
      </c>
      <c r="E28" s="29"/>
      <c r="F28" s="22">
        <v>9200</v>
      </c>
      <c r="G28" s="22">
        <v>9200</v>
      </c>
    </row>
    <row r="29" spans="2:7" ht="16" x14ac:dyDescent="0.2">
      <c r="B29" s="19">
        <v>6445</v>
      </c>
      <c r="C29" s="20">
        <v>6445</v>
      </c>
      <c r="D29" s="21">
        <v>9000</v>
      </c>
      <c r="E29" s="29"/>
      <c r="F29" s="22">
        <v>6445</v>
      </c>
      <c r="G29" s="22">
        <v>6445</v>
      </c>
    </row>
    <row r="30" spans="2:7" ht="16" x14ac:dyDescent="0.2">
      <c r="B30" s="19">
        <v>6800</v>
      </c>
      <c r="C30" s="20">
        <v>6500</v>
      </c>
      <c r="D30" s="21">
        <v>18262</v>
      </c>
      <c r="E30" s="29"/>
      <c r="F30" s="22">
        <v>6500</v>
      </c>
      <c r="G30" s="22">
        <v>6500</v>
      </c>
    </row>
    <row r="31" spans="2:7" ht="16" x14ac:dyDescent="0.2">
      <c r="B31" s="23">
        <v>8840</v>
      </c>
      <c r="C31" s="24">
        <v>5150</v>
      </c>
      <c r="D31" s="21">
        <v>7200</v>
      </c>
      <c r="E31" s="29"/>
      <c r="F31" s="22">
        <v>5150</v>
      </c>
      <c r="G31" s="22">
        <v>5150</v>
      </c>
    </row>
    <row r="32" spans="2:7" ht="16" x14ac:dyDescent="0.2">
      <c r="B32" s="19">
        <v>9100</v>
      </c>
      <c r="C32" s="20">
        <v>9778.2999999999993</v>
      </c>
      <c r="D32" s="21">
        <v>9400</v>
      </c>
      <c r="E32" s="29"/>
      <c r="F32" s="22">
        <v>9100</v>
      </c>
      <c r="G32" s="22">
        <v>9100</v>
      </c>
    </row>
    <row r="33" spans="2:7" ht="16" x14ac:dyDescent="0.2">
      <c r="B33" s="19">
        <v>9600</v>
      </c>
      <c r="C33" s="20">
        <v>12805</v>
      </c>
      <c r="D33" s="21">
        <v>12922</v>
      </c>
      <c r="E33" s="29"/>
      <c r="F33" s="22">
        <v>9600</v>
      </c>
      <c r="G33" s="22">
        <v>9600</v>
      </c>
    </row>
    <row r="34" spans="2:7" ht="16" x14ac:dyDescent="0.2">
      <c r="B34" s="19">
        <v>10057</v>
      </c>
      <c r="C34" s="20">
        <v>6800</v>
      </c>
      <c r="D34" s="21">
        <v>7319</v>
      </c>
      <c r="E34" s="29"/>
      <c r="F34" s="22">
        <v>6800</v>
      </c>
      <c r="G34" s="22">
        <v>6800</v>
      </c>
    </row>
    <row r="35" spans="2:7" ht="16" x14ac:dyDescent="0.2">
      <c r="B35" s="19">
        <v>6200</v>
      </c>
      <c r="C35" s="20">
        <v>6807.31</v>
      </c>
      <c r="D35" s="21">
        <v>6221.85</v>
      </c>
      <c r="E35" s="29"/>
      <c r="F35" s="22">
        <v>6200</v>
      </c>
      <c r="G35" s="22">
        <v>6200</v>
      </c>
    </row>
    <row r="36" spans="2:7" ht="16" x14ac:dyDescent="0.2">
      <c r="B36" s="23">
        <v>9095</v>
      </c>
      <c r="C36" s="24">
        <v>11533</v>
      </c>
      <c r="D36" s="21">
        <v>11000</v>
      </c>
      <c r="E36" s="29"/>
      <c r="F36" s="22">
        <v>9095</v>
      </c>
      <c r="G36" s="22">
        <v>9095</v>
      </c>
    </row>
    <row r="37" spans="2:7" ht="16" x14ac:dyDescent="0.2">
      <c r="B37" s="19">
        <v>9685</v>
      </c>
      <c r="C37" s="20">
        <v>7251</v>
      </c>
      <c r="D37" s="21">
        <v>10561.2</v>
      </c>
      <c r="E37" s="29"/>
      <c r="F37" s="22">
        <v>9685</v>
      </c>
      <c r="G37" s="22">
        <v>9685</v>
      </c>
    </row>
    <row r="38" spans="2:7" ht="16" x14ac:dyDescent="0.2">
      <c r="B38" s="23">
        <v>6500</v>
      </c>
      <c r="C38" s="24">
        <v>6640</v>
      </c>
      <c r="D38" s="21">
        <v>8508</v>
      </c>
      <c r="E38" s="29"/>
      <c r="F38" s="22">
        <v>6500</v>
      </c>
      <c r="G38" s="22">
        <v>6500</v>
      </c>
    </row>
    <row r="39" spans="2:7" ht="16" x14ac:dyDescent="0.2">
      <c r="B39" s="19">
        <v>10460</v>
      </c>
      <c r="C39" s="20">
        <v>11475.2</v>
      </c>
      <c r="D39" s="21">
        <v>7500</v>
      </c>
      <c r="E39" s="29"/>
      <c r="F39" s="22">
        <v>7500</v>
      </c>
      <c r="G39" s="22">
        <v>7500</v>
      </c>
    </row>
    <row r="40" spans="2:7" ht="16" x14ac:dyDescent="0.2">
      <c r="B40" s="23">
        <v>7500</v>
      </c>
      <c r="C40" s="24">
        <v>12000</v>
      </c>
      <c r="D40" s="21">
        <v>8237</v>
      </c>
      <c r="E40" s="29"/>
      <c r="F40" s="22">
        <v>7500</v>
      </c>
      <c r="G40" s="22">
        <v>7500</v>
      </c>
    </row>
    <row r="41" spans="2:7" ht="16" x14ac:dyDescent="0.2">
      <c r="B41" s="23">
        <v>6000</v>
      </c>
      <c r="C41" s="24">
        <v>5200</v>
      </c>
      <c r="D41" s="21">
        <v>5500</v>
      </c>
      <c r="E41" s="29"/>
      <c r="F41" s="22">
        <v>5200</v>
      </c>
      <c r="G41" s="22">
        <v>5200</v>
      </c>
    </row>
    <row r="42" spans="2:7" ht="16" x14ac:dyDescent="0.2">
      <c r="B42" s="23">
        <v>6950</v>
      </c>
      <c r="C42" s="24">
        <v>8462</v>
      </c>
      <c r="D42" s="21">
        <v>10324</v>
      </c>
      <c r="E42" s="29"/>
      <c r="F42" s="22">
        <v>6950</v>
      </c>
      <c r="G42" s="22">
        <v>6950</v>
      </c>
    </row>
    <row r="43" spans="2:7" ht="16" x14ac:dyDescent="0.2">
      <c r="B43" s="19">
        <v>9200</v>
      </c>
      <c r="C43" s="20">
        <v>6835</v>
      </c>
      <c r="D43" s="21">
        <v>5850</v>
      </c>
      <c r="E43" s="29"/>
      <c r="F43" s="22">
        <v>6750</v>
      </c>
      <c r="G43" s="22">
        <v>6750</v>
      </c>
    </row>
    <row r="44" spans="2:7" ht="16" x14ac:dyDescent="0.2">
      <c r="B44" s="19">
        <v>11768.5</v>
      </c>
      <c r="C44" s="20">
        <v>14886</v>
      </c>
      <c r="D44" s="21">
        <v>10185</v>
      </c>
      <c r="E44" s="29"/>
      <c r="F44" s="22">
        <v>10185</v>
      </c>
      <c r="G44" s="22">
        <v>10000</v>
      </c>
    </row>
    <row r="45" spans="2:7" ht="16" x14ac:dyDescent="0.2">
      <c r="B45" s="19">
        <v>14976.42</v>
      </c>
      <c r="C45" s="20">
        <v>6400</v>
      </c>
      <c r="D45" s="21">
        <v>6884</v>
      </c>
      <c r="E45" s="29"/>
      <c r="F45" s="22">
        <v>6400</v>
      </c>
      <c r="G45" s="22">
        <v>6400</v>
      </c>
    </row>
    <row r="46" spans="2:7" ht="16" x14ac:dyDescent="0.2">
      <c r="B46" s="19">
        <v>6800</v>
      </c>
      <c r="C46" s="20">
        <v>8000</v>
      </c>
      <c r="D46" s="21">
        <v>7360</v>
      </c>
      <c r="E46" s="29"/>
      <c r="F46" s="22">
        <v>6800</v>
      </c>
      <c r="G46" s="22">
        <v>6800</v>
      </c>
    </row>
    <row r="47" spans="2:7" ht="16" x14ac:dyDescent="0.2">
      <c r="B47" s="19">
        <v>6800</v>
      </c>
      <c r="C47" s="20">
        <v>8000</v>
      </c>
      <c r="D47" s="21">
        <v>10156</v>
      </c>
      <c r="E47" s="29"/>
      <c r="F47" s="22">
        <v>6800</v>
      </c>
      <c r="G47" s="22">
        <v>6800</v>
      </c>
    </row>
    <row r="48" spans="2:7" ht="16" x14ac:dyDescent="0.2">
      <c r="B48" s="19">
        <v>6800</v>
      </c>
      <c r="C48" s="20">
        <v>8000</v>
      </c>
      <c r="D48" s="21">
        <v>8360</v>
      </c>
      <c r="E48" s="29"/>
      <c r="F48" s="22">
        <v>6800</v>
      </c>
      <c r="G48" s="22">
        <v>6800</v>
      </c>
    </row>
    <row r="49" spans="2:7" ht="16" x14ac:dyDescent="0.2">
      <c r="B49" s="19">
        <v>6800</v>
      </c>
      <c r="C49" s="20">
        <v>8000</v>
      </c>
      <c r="D49" s="21">
        <v>8360</v>
      </c>
      <c r="E49" s="29"/>
      <c r="F49" s="22">
        <v>6800</v>
      </c>
      <c r="G49" s="22">
        <v>6800</v>
      </c>
    </row>
    <row r="50" spans="2:7" ht="16" x14ac:dyDescent="0.2">
      <c r="B50" s="19">
        <v>5200</v>
      </c>
      <c r="C50" s="20">
        <v>8000</v>
      </c>
      <c r="D50" s="21">
        <v>8516</v>
      </c>
      <c r="E50" s="29"/>
      <c r="F50" s="22">
        <v>5200</v>
      </c>
      <c r="G50" s="22">
        <v>5200</v>
      </c>
    </row>
    <row r="51" spans="2:7" ht="16" x14ac:dyDescent="0.2">
      <c r="B51" s="19">
        <v>6800</v>
      </c>
      <c r="C51" s="20">
        <v>8000</v>
      </c>
      <c r="D51" s="21">
        <v>8360</v>
      </c>
      <c r="E51" s="29"/>
      <c r="F51" s="22">
        <v>6800</v>
      </c>
      <c r="G51" s="22">
        <v>6800</v>
      </c>
    </row>
    <row r="52" spans="2:7" ht="16" x14ac:dyDescent="0.2">
      <c r="B52" s="19">
        <v>6800</v>
      </c>
      <c r="C52" s="20">
        <v>8000</v>
      </c>
      <c r="D52" s="21">
        <v>4860</v>
      </c>
      <c r="E52" s="29"/>
      <c r="F52" s="22">
        <v>6800</v>
      </c>
      <c r="G52" s="22">
        <v>4860</v>
      </c>
    </row>
    <row r="53" spans="2:7" ht="16" x14ac:dyDescent="0.2">
      <c r="B53" s="19">
        <v>6500</v>
      </c>
      <c r="C53" s="20">
        <v>5327.84</v>
      </c>
      <c r="D53" s="21">
        <v>6150</v>
      </c>
      <c r="E53" s="29"/>
      <c r="F53" s="22">
        <v>5327.84</v>
      </c>
      <c r="G53" s="22">
        <v>5327.84</v>
      </c>
    </row>
    <row r="54" spans="2:7" ht="16" x14ac:dyDescent="0.2">
      <c r="B54" s="19">
        <v>6100</v>
      </c>
      <c r="C54" s="20">
        <v>6100</v>
      </c>
      <c r="D54" s="21">
        <v>10500</v>
      </c>
      <c r="E54" s="29"/>
      <c r="F54" s="22">
        <v>6100</v>
      </c>
      <c r="G54" s="22">
        <v>6100</v>
      </c>
    </row>
    <row r="55" spans="2:7" ht="16" x14ac:dyDescent="0.2">
      <c r="B55" s="19">
        <v>7988.4</v>
      </c>
      <c r="C55" s="20">
        <v>11125</v>
      </c>
      <c r="D55" s="21">
        <v>9800</v>
      </c>
      <c r="E55" s="29"/>
      <c r="F55" s="22">
        <v>7988.4</v>
      </c>
      <c r="G55" s="22">
        <v>7988.4</v>
      </c>
    </row>
    <row r="56" spans="2:7" ht="16" x14ac:dyDescent="0.2">
      <c r="B56" s="19">
        <v>10385</v>
      </c>
      <c r="C56" s="20">
        <v>7121</v>
      </c>
      <c r="D56" s="21">
        <v>7297</v>
      </c>
      <c r="E56" s="29"/>
      <c r="F56" s="22">
        <v>7121</v>
      </c>
      <c r="G56" s="22">
        <v>7121</v>
      </c>
    </row>
    <row r="57" spans="2:7" ht="16" x14ac:dyDescent="0.2">
      <c r="B57" s="19">
        <v>5400</v>
      </c>
      <c r="C57" s="20">
        <v>4250</v>
      </c>
      <c r="D57" s="21">
        <v>4250</v>
      </c>
      <c r="E57" s="29"/>
      <c r="F57" s="22">
        <v>4250</v>
      </c>
      <c r="G57" s="22">
        <v>4250</v>
      </c>
    </row>
    <row r="58" spans="2:7" ht="16" x14ac:dyDescent="0.2">
      <c r="B58" s="19">
        <v>5857</v>
      </c>
      <c r="C58" s="20">
        <v>5488</v>
      </c>
      <c r="D58" s="21">
        <v>8711.65</v>
      </c>
      <c r="E58" s="29"/>
      <c r="F58" s="22">
        <v>5488</v>
      </c>
      <c r="G58" s="22">
        <v>5488</v>
      </c>
    </row>
    <row r="59" spans="2:7" ht="16" x14ac:dyDescent="0.2">
      <c r="B59" s="19">
        <v>9070</v>
      </c>
      <c r="C59" s="20">
        <v>8000</v>
      </c>
      <c r="D59" s="21">
        <v>10171</v>
      </c>
      <c r="E59" s="29"/>
      <c r="F59" s="22">
        <v>9070</v>
      </c>
      <c r="G59" s="22">
        <v>8000</v>
      </c>
    </row>
    <row r="60" spans="2:7" ht="16" x14ac:dyDescent="0.2">
      <c r="B60" s="23">
        <v>7200</v>
      </c>
      <c r="C60" s="24">
        <v>7940</v>
      </c>
      <c r="D60" s="21">
        <v>8500</v>
      </c>
      <c r="E60" s="29"/>
      <c r="F60" s="22">
        <v>7200</v>
      </c>
      <c r="G60" s="22">
        <v>7200</v>
      </c>
    </row>
    <row r="61" spans="2:7" ht="16" x14ac:dyDescent="0.2">
      <c r="B61" s="19">
        <v>10000</v>
      </c>
      <c r="C61" s="20">
        <v>6200</v>
      </c>
      <c r="D61" s="21">
        <v>5800</v>
      </c>
      <c r="E61" s="29"/>
      <c r="F61" s="22">
        <v>5800</v>
      </c>
      <c r="G61" s="22">
        <v>5800</v>
      </c>
    </row>
    <row r="62" spans="2:7" ht="16" x14ac:dyDescent="0.2">
      <c r="B62" s="23">
        <v>9750</v>
      </c>
      <c r="C62" s="24">
        <v>7000</v>
      </c>
      <c r="D62" s="21">
        <v>6875</v>
      </c>
      <c r="E62" s="29"/>
      <c r="F62" s="22">
        <v>6875</v>
      </c>
      <c r="G62" s="22">
        <v>6875</v>
      </c>
    </row>
    <row r="63" spans="2:7" ht="16" x14ac:dyDescent="0.2">
      <c r="B63" s="19">
        <v>9000</v>
      </c>
      <c r="C63" s="20">
        <v>8550</v>
      </c>
      <c r="D63" s="21">
        <v>10610</v>
      </c>
      <c r="E63" s="29"/>
      <c r="F63" s="22">
        <v>8550</v>
      </c>
      <c r="G63" s="22">
        <v>8550</v>
      </c>
    </row>
    <row r="64" spans="2:7" ht="16" x14ac:dyDescent="0.2">
      <c r="B64" s="19">
        <v>8000</v>
      </c>
      <c r="C64" s="20">
        <v>7987</v>
      </c>
      <c r="D64" s="21">
        <v>7650</v>
      </c>
      <c r="E64" s="29"/>
      <c r="F64" s="22">
        <v>7650</v>
      </c>
      <c r="G64" s="22">
        <v>7650</v>
      </c>
    </row>
    <row r="65" spans="2:7" ht="16" x14ac:dyDescent="0.2">
      <c r="B65" s="23">
        <v>12500</v>
      </c>
      <c r="C65" s="24">
        <v>10500</v>
      </c>
      <c r="D65" s="21">
        <v>10063.93</v>
      </c>
      <c r="E65" s="29"/>
      <c r="F65" s="22">
        <v>10063.93</v>
      </c>
      <c r="G65" s="22">
        <v>10000</v>
      </c>
    </row>
    <row r="66" spans="2:7" ht="16" x14ac:dyDescent="0.2">
      <c r="B66" s="23">
        <v>10625</v>
      </c>
      <c r="C66" s="24">
        <v>10431</v>
      </c>
      <c r="D66" s="21">
        <v>10536.74</v>
      </c>
      <c r="E66" s="29"/>
      <c r="F66" s="22">
        <v>10536.74</v>
      </c>
      <c r="G66" s="22">
        <v>10000</v>
      </c>
    </row>
    <row r="67" spans="2:7" ht="16" x14ac:dyDescent="0.2">
      <c r="B67" s="19">
        <v>11662</v>
      </c>
      <c r="C67" s="20">
        <v>9955</v>
      </c>
      <c r="D67" s="21">
        <v>12196.75</v>
      </c>
      <c r="E67" s="29"/>
      <c r="F67" s="22">
        <v>9955</v>
      </c>
      <c r="G67" s="22">
        <v>9955</v>
      </c>
    </row>
    <row r="68" spans="2:7" ht="16" x14ac:dyDescent="0.2">
      <c r="B68" s="19">
        <v>5500</v>
      </c>
      <c r="C68" s="20">
        <v>6800</v>
      </c>
      <c r="D68" s="21">
        <v>5950</v>
      </c>
      <c r="E68" s="29"/>
      <c r="F68" s="22">
        <v>5500</v>
      </c>
      <c r="G68" s="22">
        <v>5500</v>
      </c>
    </row>
    <row r="69" spans="2:7" ht="16" x14ac:dyDescent="0.2">
      <c r="B69" s="19">
        <v>8674</v>
      </c>
      <c r="C69" s="20">
        <v>8283.7999999999993</v>
      </c>
      <c r="D69" s="21">
        <v>10887.06</v>
      </c>
      <c r="E69" s="29"/>
      <c r="F69" s="22">
        <v>8283.7999999999993</v>
      </c>
      <c r="G69" s="22">
        <v>8283.7999999999993</v>
      </c>
    </row>
    <row r="70" spans="2:7" ht="16" x14ac:dyDescent="0.2">
      <c r="B70" s="19">
        <v>6500</v>
      </c>
      <c r="C70" s="20">
        <v>7595</v>
      </c>
      <c r="D70" s="21">
        <v>8555</v>
      </c>
      <c r="E70" s="29"/>
      <c r="F70" s="22">
        <v>6500</v>
      </c>
      <c r="G70" s="22">
        <v>6500</v>
      </c>
    </row>
    <row r="71" spans="2:7" ht="16" x14ac:dyDescent="0.2">
      <c r="B71" s="23">
        <v>10000</v>
      </c>
      <c r="C71" s="24">
        <v>6800</v>
      </c>
      <c r="D71" s="21">
        <v>6660</v>
      </c>
      <c r="E71" s="29"/>
      <c r="F71" s="22">
        <v>6660</v>
      </c>
      <c r="G71" s="22">
        <v>6660</v>
      </c>
    </row>
    <row r="72" spans="2:7" ht="16" x14ac:dyDescent="0.2">
      <c r="B72" s="19">
        <v>5500</v>
      </c>
      <c r="C72" s="20">
        <v>10000</v>
      </c>
      <c r="D72" s="21">
        <v>14339</v>
      </c>
      <c r="E72" s="29"/>
      <c r="F72" s="22">
        <v>5500</v>
      </c>
      <c r="G72" s="22">
        <v>5500</v>
      </c>
    </row>
    <row r="73" spans="2:7" ht="113" x14ac:dyDescent="0.2">
      <c r="B73" s="31"/>
      <c r="C73" s="31"/>
      <c r="D73" s="31"/>
      <c r="E73" s="30"/>
      <c r="F73" s="31"/>
      <c r="G73" s="32" t="s">
        <v>32</v>
      </c>
    </row>
    <row r="75" spans="2:7" ht="16" x14ac:dyDescent="0.2">
      <c r="D75" s="3" t="s">
        <v>20</v>
      </c>
      <c r="F75" s="2" t="s">
        <v>3</v>
      </c>
      <c r="G75" s="2" t="s">
        <v>3</v>
      </c>
    </row>
    <row r="76" spans="2:7" x14ac:dyDescent="0.2">
      <c r="D76" s="33">
        <v>8726.19</v>
      </c>
      <c r="F76" s="34">
        <f>SUM(F9:F73)</f>
        <v>485249.71</v>
      </c>
      <c r="G76" s="34">
        <f>SUM(G9:G73)</f>
        <v>472734.04000000004</v>
      </c>
    </row>
  </sheetData>
  <mergeCells count="1">
    <mergeCell ref="B7:G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0B59-B4DD-46E7-AAA2-B1ABC0B02FC2}">
  <dimension ref="C5:D51"/>
  <sheetViews>
    <sheetView showGridLines="0" workbookViewId="0">
      <selection activeCell="H7" sqref="H7"/>
    </sheetView>
  </sheetViews>
  <sheetFormatPr baseColWidth="10" defaultColWidth="8.83203125" defaultRowHeight="15" x14ac:dyDescent="0.2"/>
  <cols>
    <col min="3" max="3" width="23.5" customWidth="1"/>
    <col min="4" max="4" width="19" customWidth="1"/>
  </cols>
  <sheetData>
    <row r="5" spans="3:4" ht="31.5" customHeight="1" x14ac:dyDescent="0.2">
      <c r="C5" s="37" t="s">
        <v>5</v>
      </c>
      <c r="D5" s="38"/>
    </row>
    <row r="7" spans="3:4" x14ac:dyDescent="0.2">
      <c r="C7" s="2" t="s">
        <v>34</v>
      </c>
      <c r="D7" s="2"/>
    </row>
    <row r="8" spans="3:4" x14ac:dyDescent="0.2">
      <c r="C8" s="2"/>
      <c r="D8" s="2">
        <v>127</v>
      </c>
    </row>
    <row r="9" spans="3:4" x14ac:dyDescent="0.2">
      <c r="C9" s="2"/>
      <c r="D9" s="2"/>
    </row>
    <row r="10" spans="3:4" ht="32" x14ac:dyDescent="0.2">
      <c r="C10" s="3" t="s">
        <v>36</v>
      </c>
      <c r="D10" s="2"/>
    </row>
    <row r="11" spans="3:4" x14ac:dyDescent="0.2">
      <c r="C11" s="2"/>
      <c r="D11" s="2">
        <v>90</v>
      </c>
    </row>
    <row r="12" spans="3:4" x14ac:dyDescent="0.2">
      <c r="C12" s="2"/>
      <c r="D12" s="2"/>
    </row>
    <row r="13" spans="3:4" x14ac:dyDescent="0.2">
      <c r="C13" s="2" t="s">
        <v>6</v>
      </c>
      <c r="D13" s="2"/>
    </row>
    <row r="14" spans="3:4" x14ac:dyDescent="0.2">
      <c r="C14" s="2"/>
      <c r="D14" s="2">
        <v>82</v>
      </c>
    </row>
    <row r="15" spans="3:4" x14ac:dyDescent="0.2">
      <c r="C15" s="2"/>
      <c r="D15" s="2"/>
    </row>
    <row r="16" spans="3:4" ht="32" x14ac:dyDescent="0.2">
      <c r="C16" s="3" t="s">
        <v>7</v>
      </c>
      <c r="D16" s="2"/>
    </row>
    <row r="17" spans="3:4" x14ac:dyDescent="0.2">
      <c r="C17" s="2"/>
      <c r="D17" s="2">
        <v>18</v>
      </c>
    </row>
    <row r="18" spans="3:4" x14ac:dyDescent="0.2">
      <c r="C18" s="2"/>
      <c r="D18" s="2"/>
    </row>
    <row r="19" spans="3:4" x14ac:dyDescent="0.2">
      <c r="C19" s="2" t="s">
        <v>8</v>
      </c>
      <c r="D19" s="2"/>
    </row>
    <row r="20" spans="3:4" x14ac:dyDescent="0.2">
      <c r="C20" s="2"/>
      <c r="D20" s="2">
        <v>2</v>
      </c>
    </row>
    <row r="21" spans="3:4" x14ac:dyDescent="0.2">
      <c r="C21" s="2"/>
      <c r="D21" s="2"/>
    </row>
    <row r="22" spans="3:4" x14ac:dyDescent="0.2">
      <c r="C22" s="2" t="s">
        <v>9</v>
      </c>
      <c r="D22" s="2"/>
    </row>
    <row r="23" spans="3:4" x14ac:dyDescent="0.2">
      <c r="C23" s="2"/>
      <c r="D23" s="2">
        <v>42</v>
      </c>
    </row>
    <row r="24" spans="3:4" x14ac:dyDescent="0.2">
      <c r="C24" s="2"/>
      <c r="D24" s="2"/>
    </row>
    <row r="25" spans="3:4" x14ac:dyDescent="0.2">
      <c r="C25" s="2" t="s">
        <v>10</v>
      </c>
      <c r="D25" s="2"/>
    </row>
    <row r="26" spans="3:4" x14ac:dyDescent="0.2">
      <c r="C26" s="2"/>
      <c r="D26" s="2">
        <v>20</v>
      </c>
    </row>
    <row r="27" spans="3:4" x14ac:dyDescent="0.2">
      <c r="C27" s="2"/>
      <c r="D27" s="2"/>
    </row>
    <row r="28" spans="3:4" x14ac:dyDescent="0.2">
      <c r="C28" s="2" t="s">
        <v>11</v>
      </c>
      <c r="D28" s="2"/>
    </row>
    <row r="29" spans="3:4" x14ac:dyDescent="0.2">
      <c r="C29" s="2"/>
      <c r="D29" s="2">
        <v>31</v>
      </c>
    </row>
    <row r="30" spans="3:4" x14ac:dyDescent="0.2">
      <c r="C30" s="2"/>
      <c r="D30" s="2"/>
    </row>
    <row r="31" spans="3:4" x14ac:dyDescent="0.2">
      <c r="C31" s="2" t="s">
        <v>12</v>
      </c>
      <c r="D31" s="2"/>
    </row>
    <row r="32" spans="3:4" x14ac:dyDescent="0.2">
      <c r="C32" s="2"/>
      <c r="D32" s="2">
        <v>59</v>
      </c>
    </row>
    <row r="33" spans="3:4" x14ac:dyDescent="0.2">
      <c r="C33" s="2"/>
      <c r="D33" s="2"/>
    </row>
    <row r="34" spans="3:4" ht="32" x14ac:dyDescent="0.2">
      <c r="C34" s="3" t="s">
        <v>13</v>
      </c>
      <c r="D34" s="2"/>
    </row>
    <row r="35" spans="3:4" x14ac:dyDescent="0.2">
      <c r="C35" s="3"/>
      <c r="D35" s="2">
        <v>90</v>
      </c>
    </row>
    <row r="36" spans="3:4" x14ac:dyDescent="0.2">
      <c r="C36" s="3"/>
      <c r="D36" s="2"/>
    </row>
    <row r="37" spans="3:4" ht="32" x14ac:dyDescent="0.2">
      <c r="C37" s="3" t="s">
        <v>14</v>
      </c>
      <c r="D37" s="2"/>
    </row>
    <row r="38" spans="3:4" x14ac:dyDescent="0.2">
      <c r="C38" s="3"/>
      <c r="D38" s="2">
        <v>6</v>
      </c>
    </row>
    <row r="39" spans="3:4" x14ac:dyDescent="0.2">
      <c r="C39" s="3"/>
      <c r="D39" s="2"/>
    </row>
    <row r="40" spans="3:4" ht="16" x14ac:dyDescent="0.2">
      <c r="C40" s="3" t="s">
        <v>15</v>
      </c>
      <c r="D40" s="2"/>
    </row>
    <row r="41" spans="3:4" x14ac:dyDescent="0.2">
      <c r="C41" s="3"/>
      <c r="D41" s="2">
        <v>26</v>
      </c>
    </row>
    <row r="42" spans="3:4" x14ac:dyDescent="0.2">
      <c r="C42" s="3"/>
      <c r="D42" s="2"/>
    </row>
    <row r="43" spans="3:4" ht="32" x14ac:dyDescent="0.2">
      <c r="C43" s="3" t="s">
        <v>16</v>
      </c>
      <c r="D43" s="2"/>
    </row>
    <row r="44" spans="3:4" x14ac:dyDescent="0.2">
      <c r="C44" s="3"/>
      <c r="D44" s="2">
        <v>45</v>
      </c>
    </row>
    <row r="45" spans="3:4" x14ac:dyDescent="0.2">
      <c r="C45" s="3"/>
      <c r="D45" s="2"/>
    </row>
    <row r="46" spans="3:4" ht="32" x14ac:dyDescent="0.2">
      <c r="C46" s="3" t="s">
        <v>17</v>
      </c>
      <c r="D46" s="2"/>
    </row>
    <row r="47" spans="3:4" x14ac:dyDescent="0.2">
      <c r="C47" s="3"/>
      <c r="D47" s="2">
        <v>1</v>
      </c>
    </row>
    <row r="48" spans="3:4" x14ac:dyDescent="0.2">
      <c r="C48" s="3"/>
      <c r="D48" s="2"/>
    </row>
    <row r="49" spans="3:4" ht="32" x14ac:dyDescent="0.2">
      <c r="C49" s="3" t="s">
        <v>18</v>
      </c>
      <c r="D49" s="2"/>
    </row>
    <row r="50" spans="3:4" x14ac:dyDescent="0.2">
      <c r="C50" s="2"/>
      <c r="D50" s="2">
        <v>12</v>
      </c>
    </row>
    <row r="51" spans="3:4" x14ac:dyDescent="0.2">
      <c r="C51" s="2"/>
      <c r="D51" s="2"/>
    </row>
  </sheetData>
  <mergeCells count="1">
    <mergeCell ref="C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071C-0410-4F1D-BF65-A8ECBE875645}">
  <dimension ref="B6:G31"/>
  <sheetViews>
    <sheetView showGridLines="0" workbookViewId="0">
      <selection activeCell="D5" sqref="D5"/>
    </sheetView>
  </sheetViews>
  <sheetFormatPr baseColWidth="10" defaultColWidth="8.83203125" defaultRowHeight="15" x14ac:dyDescent="0.2"/>
  <cols>
    <col min="2" max="2" width="20" bestFit="1" customWidth="1"/>
    <col min="3" max="3" width="17" bestFit="1" customWidth="1"/>
    <col min="4" max="4" width="10.83203125" bestFit="1" customWidth="1"/>
    <col min="5" max="7" width="11.5" bestFit="1" customWidth="1"/>
  </cols>
  <sheetData>
    <row r="6" spans="2:7" ht="15.75" customHeight="1" x14ac:dyDescent="0.2">
      <c r="B6" s="39" t="s">
        <v>28</v>
      </c>
      <c r="C6" s="39"/>
    </row>
    <row r="7" spans="2:7" x14ac:dyDescent="0.2">
      <c r="B7" s="39"/>
      <c r="C7" s="39"/>
    </row>
    <row r="8" spans="2:7" ht="16" x14ac:dyDescent="0.2">
      <c r="B8" s="4"/>
      <c r="C8" s="4"/>
    </row>
    <row r="9" spans="2:7" s="1" customFormat="1" ht="29" x14ac:dyDescent="0.2">
      <c r="B9" s="5" t="s">
        <v>31</v>
      </c>
      <c r="C9" s="4"/>
    </row>
    <row r="10" spans="2:7" s="1" customFormat="1" ht="16" x14ac:dyDescent="0.2">
      <c r="B10" s="5" t="s">
        <v>29</v>
      </c>
      <c r="C10" s="4"/>
    </row>
    <row r="11" spans="2:7" s="1" customFormat="1" ht="29" x14ac:dyDescent="0.2">
      <c r="B11" s="6" t="s">
        <v>30</v>
      </c>
    </row>
    <row r="14" spans="2:7" x14ac:dyDescent="0.2">
      <c r="B14" s="40" t="s">
        <v>37</v>
      </c>
      <c r="C14" s="40"/>
      <c r="D14" s="40"/>
      <c r="E14" s="40"/>
      <c r="F14" s="40"/>
      <c r="G14" s="40"/>
    </row>
    <row r="15" spans="2:7" x14ac:dyDescent="0.2">
      <c r="B15" s="18"/>
      <c r="C15" s="9">
        <v>45951</v>
      </c>
      <c r="D15" s="9">
        <v>45979</v>
      </c>
      <c r="E15" s="9">
        <v>46032</v>
      </c>
      <c r="F15" s="9">
        <v>46068</v>
      </c>
      <c r="G15" s="9">
        <v>46104</v>
      </c>
    </row>
    <row r="16" spans="2:7" x14ac:dyDescent="0.2">
      <c r="B16" s="7" t="s">
        <v>21</v>
      </c>
      <c r="C16" s="8">
        <v>869</v>
      </c>
      <c r="D16" s="8">
        <v>1538</v>
      </c>
      <c r="E16" s="8">
        <v>2389</v>
      </c>
      <c r="F16" s="8">
        <v>2833</v>
      </c>
      <c r="G16" s="8">
        <v>3000</v>
      </c>
    </row>
    <row r="17" spans="2:7" x14ac:dyDescent="0.2">
      <c r="B17" s="10"/>
      <c r="C17" s="11"/>
      <c r="D17" s="11"/>
      <c r="E17" s="11"/>
      <c r="F17" s="11"/>
      <c r="G17" s="11"/>
    </row>
    <row r="18" spans="2:7" x14ac:dyDescent="0.2">
      <c r="B18" s="7" t="s">
        <v>22</v>
      </c>
      <c r="C18" s="8">
        <v>1666</v>
      </c>
      <c r="D18" s="8">
        <v>2938</v>
      </c>
      <c r="E18" s="8">
        <v>4596</v>
      </c>
      <c r="F18" s="8">
        <v>5424</v>
      </c>
      <c r="G18" s="8">
        <v>5762</v>
      </c>
    </row>
    <row r="19" spans="2:7" x14ac:dyDescent="0.2">
      <c r="B19" s="12" t="s">
        <v>23</v>
      </c>
      <c r="C19" s="2">
        <v>48</v>
      </c>
      <c r="D19" s="2">
        <v>82</v>
      </c>
      <c r="E19" s="2">
        <v>134</v>
      </c>
      <c r="F19" s="2">
        <v>162</v>
      </c>
      <c r="G19" s="2">
        <v>192</v>
      </c>
    </row>
    <row r="20" spans="2:7" x14ac:dyDescent="0.2">
      <c r="B20" s="12" t="s">
        <v>24</v>
      </c>
      <c r="C20" s="2">
        <v>788</v>
      </c>
      <c r="D20" s="2">
        <v>1388</v>
      </c>
      <c r="E20" s="2">
        <v>2178</v>
      </c>
      <c r="F20" s="2">
        <v>2561</v>
      </c>
      <c r="G20" s="2">
        <v>2708</v>
      </c>
    </row>
    <row r="21" spans="2:7" x14ac:dyDescent="0.2">
      <c r="B21" s="12" t="s">
        <v>25</v>
      </c>
      <c r="C21" s="2">
        <v>830</v>
      </c>
      <c r="D21" s="2">
        <v>1468</v>
      </c>
      <c r="E21" s="2">
        <v>2284</v>
      </c>
      <c r="F21" s="2">
        <v>2701</v>
      </c>
      <c r="G21" s="2">
        <v>2862</v>
      </c>
    </row>
    <row r="22" spans="2:7" x14ac:dyDescent="0.2">
      <c r="B22" s="15"/>
      <c r="C22" s="17"/>
      <c r="D22" s="17"/>
      <c r="E22" s="17"/>
      <c r="F22" s="17"/>
      <c r="G22" s="17"/>
    </row>
    <row r="23" spans="2:7" x14ac:dyDescent="0.2">
      <c r="B23" s="7" t="s">
        <v>26</v>
      </c>
      <c r="C23" s="13">
        <v>10470</v>
      </c>
      <c r="D23" s="13">
        <v>25995</v>
      </c>
      <c r="E23" s="13">
        <v>101299</v>
      </c>
      <c r="F23" s="13">
        <v>152075</v>
      </c>
      <c r="G23" s="13">
        <v>220146</v>
      </c>
    </row>
    <row r="24" spans="2:7" x14ac:dyDescent="0.2">
      <c r="B24" s="12" t="s">
        <v>23</v>
      </c>
      <c r="C24" s="14">
        <v>0</v>
      </c>
      <c r="D24" s="14">
        <v>0</v>
      </c>
      <c r="E24" s="14">
        <v>1541</v>
      </c>
      <c r="F24" s="14">
        <v>2249</v>
      </c>
      <c r="G24" s="14">
        <v>4895</v>
      </c>
    </row>
    <row r="25" spans="2:7" x14ac:dyDescent="0.2">
      <c r="B25" s="12" t="s">
        <v>24</v>
      </c>
      <c r="C25" s="14">
        <v>270</v>
      </c>
      <c r="D25" s="14">
        <v>2115</v>
      </c>
      <c r="E25" s="14">
        <v>31718</v>
      </c>
      <c r="F25" s="14">
        <v>48270</v>
      </c>
      <c r="G25" s="14">
        <v>53743</v>
      </c>
    </row>
    <row r="26" spans="2:7" x14ac:dyDescent="0.2">
      <c r="B26" s="12" t="s">
        <v>25</v>
      </c>
      <c r="C26" s="14">
        <v>10200</v>
      </c>
      <c r="D26" s="14">
        <v>23880</v>
      </c>
      <c r="E26" s="14">
        <v>68040</v>
      </c>
      <c r="F26" s="14">
        <v>101556</v>
      </c>
      <c r="G26" s="14">
        <v>161508</v>
      </c>
    </row>
    <row r="27" spans="2:7" x14ac:dyDescent="0.2">
      <c r="B27" s="15"/>
      <c r="C27" s="16"/>
      <c r="D27" s="16"/>
      <c r="E27" s="16"/>
      <c r="F27" s="16"/>
      <c r="G27" s="16"/>
    </row>
    <row r="28" spans="2:7" x14ac:dyDescent="0.2">
      <c r="B28" s="7" t="s">
        <v>27</v>
      </c>
      <c r="C28" s="8">
        <v>5</v>
      </c>
      <c r="D28" s="8">
        <v>15</v>
      </c>
      <c r="E28" s="8">
        <v>38</v>
      </c>
      <c r="F28" s="8">
        <v>54</v>
      </c>
      <c r="G28" s="8">
        <v>78</v>
      </c>
    </row>
    <row r="29" spans="2:7" x14ac:dyDescent="0.2">
      <c r="B29" s="12" t="s">
        <v>23</v>
      </c>
      <c r="C29" s="2">
        <v>0</v>
      </c>
      <c r="D29" s="2">
        <v>0</v>
      </c>
      <c r="E29" s="2">
        <v>2</v>
      </c>
      <c r="F29" s="2">
        <v>4</v>
      </c>
      <c r="G29" s="2">
        <v>7</v>
      </c>
    </row>
    <row r="30" spans="2:7" x14ac:dyDescent="0.2">
      <c r="B30" s="12" t="s">
        <v>24</v>
      </c>
      <c r="C30" s="2">
        <v>1</v>
      </c>
      <c r="D30" s="2">
        <v>5</v>
      </c>
      <c r="E30" s="2">
        <v>16</v>
      </c>
      <c r="F30" s="2">
        <v>22</v>
      </c>
      <c r="G30" s="2">
        <v>30</v>
      </c>
    </row>
    <row r="31" spans="2:7" x14ac:dyDescent="0.2">
      <c r="B31" s="12" t="s">
        <v>25</v>
      </c>
      <c r="C31" s="2">
        <v>4</v>
      </c>
      <c r="D31" s="2">
        <v>10</v>
      </c>
      <c r="E31" s="2">
        <v>20</v>
      </c>
      <c r="F31" s="2">
        <v>28</v>
      </c>
      <c r="G31" s="2">
        <v>41</v>
      </c>
    </row>
  </sheetData>
  <mergeCells count="2">
    <mergeCell ref="B6:C7"/>
    <mergeCell ref="B14:G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6B5D-39E5-4DA0-82B0-13B458EECC49}">
  <dimension ref="B2:E34"/>
  <sheetViews>
    <sheetView showGridLines="0" tabSelected="1" workbookViewId="0">
      <selection activeCell="B4" sqref="B4"/>
    </sheetView>
  </sheetViews>
  <sheetFormatPr baseColWidth="10" defaultColWidth="8.83203125" defaultRowHeight="15" x14ac:dyDescent="0.2"/>
  <cols>
    <col min="2" max="3" width="27.5" bestFit="1" customWidth="1"/>
    <col min="4" max="4" width="8.83203125" bestFit="1" customWidth="1"/>
    <col min="5" max="5" width="25.1640625" bestFit="1" customWidth="1"/>
  </cols>
  <sheetData>
    <row r="2" spans="2:5" x14ac:dyDescent="0.2">
      <c r="B2" t="s">
        <v>50</v>
      </c>
    </row>
    <row r="4" spans="2:5" x14ac:dyDescent="0.2">
      <c r="B4" t="s">
        <v>38</v>
      </c>
      <c r="C4" t="s">
        <v>39</v>
      </c>
      <c r="D4" t="s">
        <v>40</v>
      </c>
      <c r="E4" t="s">
        <v>41</v>
      </c>
    </row>
    <row r="5" spans="2:5" x14ac:dyDescent="0.2">
      <c r="B5" t="s">
        <v>42</v>
      </c>
      <c r="C5" t="s">
        <v>42</v>
      </c>
      <c r="D5" s="35">
        <v>1020</v>
      </c>
      <c r="E5" t="s">
        <v>42</v>
      </c>
    </row>
    <row r="6" spans="2:5" x14ac:dyDescent="0.2">
      <c r="B6" t="s">
        <v>42</v>
      </c>
      <c r="C6" t="s">
        <v>43</v>
      </c>
      <c r="D6" s="35">
        <v>1248</v>
      </c>
      <c r="E6" t="s">
        <v>42</v>
      </c>
    </row>
    <row r="7" spans="2:5" x14ac:dyDescent="0.2">
      <c r="B7" t="s">
        <v>42</v>
      </c>
      <c r="C7" t="s">
        <v>44</v>
      </c>
      <c r="D7">
        <v>1</v>
      </c>
      <c r="E7" t="s">
        <v>42</v>
      </c>
    </row>
    <row r="8" spans="2:5" x14ac:dyDescent="0.2">
      <c r="B8" t="s">
        <v>42</v>
      </c>
      <c r="C8" t="s">
        <v>45</v>
      </c>
      <c r="D8">
        <v>702</v>
      </c>
      <c r="E8" t="s">
        <v>42</v>
      </c>
    </row>
    <row r="9" spans="2:5" x14ac:dyDescent="0.2">
      <c r="B9" t="s">
        <v>42</v>
      </c>
      <c r="C9" t="s">
        <v>46</v>
      </c>
      <c r="D9" s="35">
        <v>2425</v>
      </c>
      <c r="E9" t="s">
        <v>42</v>
      </c>
    </row>
    <row r="10" spans="2:5" x14ac:dyDescent="0.2">
      <c r="B10" t="s">
        <v>43</v>
      </c>
      <c r="C10" t="s">
        <v>42</v>
      </c>
      <c r="D10" s="35">
        <v>7253</v>
      </c>
      <c r="E10" t="s">
        <v>42</v>
      </c>
    </row>
    <row r="11" spans="2:5" x14ac:dyDescent="0.2">
      <c r="B11" t="s">
        <v>44</v>
      </c>
      <c r="C11" t="s">
        <v>42</v>
      </c>
      <c r="D11">
        <v>40</v>
      </c>
      <c r="E11" t="s">
        <v>42</v>
      </c>
    </row>
    <row r="12" spans="2:5" x14ac:dyDescent="0.2">
      <c r="B12" t="s">
        <v>45</v>
      </c>
      <c r="C12" t="s">
        <v>42</v>
      </c>
      <c r="D12">
        <v>112</v>
      </c>
      <c r="E12" t="s">
        <v>42</v>
      </c>
    </row>
    <row r="13" spans="2:5" x14ac:dyDescent="0.2">
      <c r="B13" t="s">
        <v>46</v>
      </c>
      <c r="C13" t="s">
        <v>42</v>
      </c>
      <c r="D13" s="35">
        <v>1843</v>
      </c>
      <c r="E13" t="s">
        <v>42</v>
      </c>
    </row>
    <row r="14" spans="2:5" x14ac:dyDescent="0.2">
      <c r="B14" t="s">
        <v>47</v>
      </c>
      <c r="C14" t="s">
        <v>42</v>
      </c>
      <c r="D14" s="35">
        <v>4086</v>
      </c>
      <c r="E14" t="s">
        <v>47</v>
      </c>
    </row>
    <row r="15" spans="2:5" x14ac:dyDescent="0.2">
      <c r="B15" t="s">
        <v>47</v>
      </c>
      <c r="C15" t="s">
        <v>43</v>
      </c>
      <c r="D15" s="35">
        <v>5107</v>
      </c>
      <c r="E15" t="s">
        <v>47</v>
      </c>
    </row>
    <row r="16" spans="2:5" x14ac:dyDescent="0.2">
      <c r="B16" t="s">
        <v>47</v>
      </c>
      <c r="C16" t="s">
        <v>44</v>
      </c>
      <c r="D16">
        <v>2</v>
      </c>
      <c r="E16" t="s">
        <v>47</v>
      </c>
    </row>
    <row r="17" spans="2:5" x14ac:dyDescent="0.2">
      <c r="B17" t="s">
        <v>47</v>
      </c>
      <c r="C17" t="s">
        <v>45</v>
      </c>
      <c r="D17" s="35">
        <v>3134</v>
      </c>
      <c r="E17" t="s">
        <v>47</v>
      </c>
    </row>
    <row r="18" spans="2:5" x14ac:dyDescent="0.2">
      <c r="B18" t="s">
        <v>47</v>
      </c>
      <c r="C18" t="s">
        <v>46</v>
      </c>
      <c r="D18" s="35">
        <v>11672</v>
      </c>
      <c r="E18" t="s">
        <v>47</v>
      </c>
    </row>
    <row r="19" spans="2:5" x14ac:dyDescent="0.2">
      <c r="B19" t="s">
        <v>43</v>
      </c>
      <c r="C19" t="s">
        <v>43</v>
      </c>
      <c r="D19" s="35">
        <v>32619</v>
      </c>
      <c r="E19" t="s">
        <v>48</v>
      </c>
    </row>
    <row r="20" spans="2:5" x14ac:dyDescent="0.2">
      <c r="B20" t="s">
        <v>43</v>
      </c>
      <c r="C20" t="s">
        <v>44</v>
      </c>
      <c r="D20" s="35">
        <v>16330</v>
      </c>
      <c r="E20" t="s">
        <v>48</v>
      </c>
    </row>
    <row r="21" spans="2:5" x14ac:dyDescent="0.2">
      <c r="B21" t="s">
        <v>43</v>
      </c>
      <c r="C21" t="s">
        <v>45</v>
      </c>
      <c r="D21" s="35">
        <v>19765</v>
      </c>
      <c r="E21" t="s">
        <v>48</v>
      </c>
    </row>
    <row r="22" spans="2:5" x14ac:dyDescent="0.2">
      <c r="B22" t="s">
        <v>44</v>
      </c>
      <c r="C22" t="s">
        <v>43</v>
      </c>
      <c r="D22" s="35">
        <v>5597</v>
      </c>
      <c r="E22" t="s">
        <v>48</v>
      </c>
    </row>
    <row r="23" spans="2:5" x14ac:dyDescent="0.2">
      <c r="B23" t="s">
        <v>44</v>
      </c>
      <c r="C23" t="s">
        <v>44</v>
      </c>
      <c r="D23" s="35">
        <v>32820</v>
      </c>
      <c r="E23" t="s">
        <v>48</v>
      </c>
    </row>
    <row r="24" spans="2:5" x14ac:dyDescent="0.2">
      <c r="B24" t="s">
        <v>44</v>
      </c>
      <c r="C24" t="s">
        <v>45</v>
      </c>
      <c r="D24" s="35">
        <v>8401</v>
      </c>
      <c r="E24" t="s">
        <v>48</v>
      </c>
    </row>
    <row r="25" spans="2:5" x14ac:dyDescent="0.2">
      <c r="B25" t="s">
        <v>45</v>
      </c>
      <c r="C25" t="s">
        <v>43</v>
      </c>
      <c r="D25" s="35">
        <v>2132</v>
      </c>
      <c r="E25" t="s">
        <v>48</v>
      </c>
    </row>
    <row r="26" spans="2:5" x14ac:dyDescent="0.2">
      <c r="B26" t="s">
        <v>45</v>
      </c>
      <c r="C26" t="s">
        <v>44</v>
      </c>
      <c r="D26" s="35">
        <v>55183</v>
      </c>
      <c r="E26" t="s">
        <v>48</v>
      </c>
    </row>
    <row r="27" spans="2:5" x14ac:dyDescent="0.2">
      <c r="B27" t="s">
        <v>45</v>
      </c>
      <c r="C27" t="s">
        <v>45</v>
      </c>
      <c r="D27" s="35">
        <v>21882</v>
      </c>
      <c r="E27" t="s">
        <v>48</v>
      </c>
    </row>
    <row r="28" spans="2:5" x14ac:dyDescent="0.2">
      <c r="B28" t="s">
        <v>43</v>
      </c>
      <c r="C28" t="s">
        <v>46</v>
      </c>
      <c r="D28" s="35">
        <v>27941</v>
      </c>
      <c r="E28" t="s">
        <v>49</v>
      </c>
    </row>
    <row r="29" spans="2:5" x14ac:dyDescent="0.2">
      <c r="B29" t="s">
        <v>44</v>
      </c>
      <c r="C29" t="s">
        <v>46</v>
      </c>
      <c r="D29">
        <v>119</v>
      </c>
      <c r="E29" t="s">
        <v>49</v>
      </c>
    </row>
    <row r="30" spans="2:5" x14ac:dyDescent="0.2">
      <c r="B30" t="s">
        <v>45</v>
      </c>
      <c r="C30" t="s">
        <v>46</v>
      </c>
      <c r="D30" s="35">
        <v>1783</v>
      </c>
      <c r="E30" t="s">
        <v>49</v>
      </c>
    </row>
    <row r="31" spans="2:5" x14ac:dyDescent="0.2">
      <c r="B31" t="s">
        <v>46</v>
      </c>
      <c r="C31" t="s">
        <v>43</v>
      </c>
      <c r="D31" s="35">
        <v>7230</v>
      </c>
      <c r="E31" t="s">
        <v>49</v>
      </c>
    </row>
    <row r="32" spans="2:5" x14ac:dyDescent="0.2">
      <c r="B32" t="s">
        <v>46</v>
      </c>
      <c r="C32" t="s">
        <v>44</v>
      </c>
      <c r="D32">
        <v>35</v>
      </c>
      <c r="E32" t="s">
        <v>49</v>
      </c>
    </row>
    <row r="33" spans="2:5" x14ac:dyDescent="0.2">
      <c r="B33" t="s">
        <v>46</v>
      </c>
      <c r="C33" t="s">
        <v>45</v>
      </c>
      <c r="D33" s="35">
        <v>1874</v>
      </c>
      <c r="E33" t="s">
        <v>49</v>
      </c>
    </row>
    <row r="34" spans="2:5" x14ac:dyDescent="0.2">
      <c r="B34" t="s">
        <v>46</v>
      </c>
      <c r="C34" t="s">
        <v>46</v>
      </c>
      <c r="D34" s="35">
        <v>16033</v>
      </c>
      <c r="E34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LEAP Quotes - No Names</vt:lpstr>
      <vt:lpstr>LEAP Participation</vt:lpstr>
      <vt:lpstr>Insurance</vt:lpstr>
      <vt:lpstr>System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Mosley, Jon</cp:lastModifiedBy>
  <dcterms:created xsi:type="dcterms:W3CDTF">2026-03-23T17:17:40Z</dcterms:created>
  <dcterms:modified xsi:type="dcterms:W3CDTF">2026-03-28T06:24:03Z</dcterms:modified>
</cp:coreProperties>
</file>